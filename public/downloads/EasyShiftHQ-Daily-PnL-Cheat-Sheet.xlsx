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P&amp;L" sheetId="1" state="visible" r:id="rId3"/>
    <sheet name="Weekly Roll-up" sheetId="2" state="visible" r:id="rId4"/>
    <sheet name="Benchmarks" sheetId="3" state="visible" r:id="rId5"/>
    <sheet name="How to u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<sst xmlns="http://schemas.openxmlformats.org/spreadsheetml/2006/main" count="174" uniqueCount="154">
  <si>
    <t xml:space="preserve">EasyShiftHQ — Restaurant Daily P&amp;L Cheat Sheet</t>
  </si>
  <si>
    <t xml:space="preserve">Restaurant</t>
  </si>
  <si>
    <t xml:space="preserve">Your restaurant name</t>
  </si>
  <si>
    <t xml:space="preserve">Date</t>
  </si>
  <si>
    <t xml:space="preserve">Did you make money today?</t>
  </si>
  <si>
    <t xml:space="preserve">Today ($)</t>
  </si>
  <si>
    <t xml:space="preserve">Yesterday ($)</t>
  </si>
  <si>
    <t xml:space="preserve">% of Rev</t>
  </si>
  <si>
    <t xml:space="preserve">Benchmark</t>
  </si>
  <si>
    <t xml:space="preserve">Status</t>
  </si>
  <si>
    <t xml:space="preserve">REVENUE</t>
  </si>
  <si>
    <t xml:space="preserve">Net sales (POS, post-tax)</t>
  </si>
  <si>
    <t xml:space="preserve">Square / Toast / Clover daily total</t>
  </si>
  <si>
    <t xml:space="preserve">Tips collected</t>
  </si>
  <si>
    <t xml:space="preserve">If included in POS total, leave blank</t>
  </si>
  <si>
    <t xml:space="preserve">Catering &amp; other income</t>
  </si>
  <si>
    <t xml:space="preserve">TOTAL REVENUE</t>
  </si>
  <si>
    <t xml:space="preserve">100%</t>
  </si>
  <si>
    <t xml:space="preserve">COST OF GOODS SOLD (food + beverage + paper)</t>
  </si>
  <si>
    <t xml:space="preserve">Food cost (purchases received OR food sold today)</t>
  </si>
  <si>
    <t xml:space="preserve">Match your accounting method</t>
  </si>
  <si>
    <t xml:space="preserve">Beverage cost</t>
  </si>
  <si>
    <t xml:space="preserve">Paper, packaging, to-go supplies</t>
  </si>
  <si>
    <t xml:space="preserve">TOTAL COGS</t>
  </si>
  <si>
    <t xml:space="preserve">QSR target: 28–32%</t>
  </si>
  <si>
    <t xml:space="preserve">LABOR (fully loaded — wages + taxes + benefits)</t>
  </si>
  <si>
    <t xml:space="preserve">Hourly wages paid today</t>
  </si>
  <si>
    <t xml:space="preserve">Punches × wages</t>
  </si>
  <si>
    <t xml:space="preserve">Salaried wages (daily allocation)</t>
  </si>
  <si>
    <t xml:space="preserve">Monthly salary ÷ 30</t>
  </si>
  <si>
    <t xml:space="preserve">Payroll taxes + benefits</t>
  </si>
  <si>
    <t xml:space="preserve">Roughly 15–20% of wages</t>
  </si>
  <si>
    <t xml:space="preserve">TOTAL LABOR</t>
  </si>
  <si>
    <t xml:space="preserve">QSR target: 25–32%</t>
  </si>
  <si>
    <t xml:space="preserve">PRIME COST  (COGS + Labor — the single most important number)</t>
  </si>
  <si>
    <t xml:space="preserve">PRIME COST</t>
  </si>
  <si>
    <t xml:space="preserve">Healthy: &lt;55% • OK: &lt;60% • Tight: &gt;65%</t>
  </si>
  <si>
    <t xml:space="preserve">OPERATING EXPENSES (allocated to today)</t>
  </si>
  <si>
    <t xml:space="preserve">Rent / occupancy (monthly ÷ 30)</t>
  </si>
  <si>
    <t xml:space="preserve">Utilities</t>
  </si>
  <si>
    <t xml:space="preserve">Royalties (franchise %)</t>
  </si>
  <si>
    <t xml:space="preserve">5–7% of net sales is typical</t>
  </si>
  <si>
    <t xml:space="preserve">Marketing (national + local)</t>
  </si>
  <si>
    <t xml:space="preserve">All other (insurance, repairs, software, etc.)</t>
  </si>
  <si>
    <t xml:space="preserve">TOTAL OPERATING EXPENSES</t>
  </si>
  <si>
    <t xml:space="preserve">Target: 18–25%</t>
  </si>
  <si>
    <t xml:space="preserve">BOTTOM LINE</t>
  </si>
  <si>
    <t xml:space="preserve">Total expenses (COGS + Labor + OpEx)</t>
  </si>
  <si>
    <t xml:space="preserve">NET INCOME (Revenue − Total expenses)</t>
  </si>
  <si>
    <t xml:space="preserve">Healthy QSR: 8–15%</t>
  </si>
  <si>
    <t xml:space="preserve">Daily breakeven (revenue needed at current costs)</t>
  </si>
  <si>
    <t xml:space="preserve">If revenue &lt; this, today loses money</t>
  </si>
  <si>
    <t xml:space="preserve">5-MINUTE DAILY CHECK</t>
  </si>
  <si>
    <t xml:space="preserve">Did I make money today?</t>
  </si>
  <si>
    <t xml:space="preserve">Is prime cost under 60%?</t>
  </si>
  <si>
    <t xml:space="preserve">Is food cost under 32%?</t>
  </si>
  <si>
    <t xml:space="preserve">Is labor under 32%?</t>
  </si>
  <si>
    <t xml:space="preserve">Did I beat yesterday’s net income?</t>
  </si>
  <si>
    <t xml:space="preserve">Weekly Roll-up — fill in each day, week totals auto-compute</t>
  </si>
  <si>
    <t xml:space="preserve">Week starting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</si>
  <si>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</si>
  <si>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</si>
  <si>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</si>
  <si>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</si>
  <si>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</si>
  <si>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</si>
  <si>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</si>
  <si>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 Total</t>
  </si>
  <si>
    <t xml:space="preserve">Net Revenue</t>
  </si>
  <si>
    <t xml:space="preserve">Food cost</t>
  </si>
  <si>
    <t xml:space="preserve">Paper / packaging</t>
  </si>
  <si>
    <t xml:space="preserve">Hourly wages</t>
  </si>
  <si>
    <t xml:space="preserve">Salaried wages (daily)</t>
  </si>
  <si>
    <t xml:space="preserve">Operating expenses (total)</t>
  </si>
  <si>
    <t xml:space="preserve">Total expenses</t>
  </si>
  <si>
    <t xml:space="preserve">NET INCOME</t>
  </si>
  <si>
    <t xml:space="preserve">Net income %</t>
  </si>
  <si>
    <t xml:space="preserve">Industry Benchmarks — for reference</t>
  </si>
  <si>
    <t xml:space="preserve">These are typical ranges for healthy operators. Your numbers will vary by concept, location, and season — use these as a sanity check, not a verdict.</t>
  </si>
  <si>
    <t xml:space="preserve">QSR / Fast-Food</t>
  </si>
  <si>
    <t xml:space="preserve">Fast-Casual</t>
  </si>
  <si>
    <t xml:space="preserve">Casual Dining</t>
  </si>
  <si>
    <t xml:space="preserve">Fine Dining</t>
  </si>
  <si>
    <t xml:space="preserve">Food cost % of revenue</t>
  </si>
  <si>
    <t xml:space="preserve">28–32%</t>
  </si>
  <si>
    <t xml:space="preserve">30–34%</t>
  </si>
  <si>
    <t xml:space="preserve">32–38%</t>
  </si>
  <si>
    <t xml:space="preserve">Beverage cost % of revenue</t>
  </si>
  <si>
    <t xml:space="preserve">18–24%</t>
  </si>
  <si>
    <t xml:space="preserve">20–25%</t>
  </si>
  <si>
    <t xml:space="preserve">20–28%</t>
  </si>
  <si>
    <t xml:space="preserve">Paper / packaging % of revenue</t>
  </si>
  <si>
    <t xml:space="preserve">3–5%</t>
  </si>
  <si>
    <t xml:space="preserve">1–2%</t>
  </si>
  <si>
    <t xml:space="preserve">&lt;1%</t>
  </si>
  <si>
    <t xml:space="preserve">Total COGS % of revenue</t>
  </si>
  <si>
    <t xml:space="preserve">30–35%</t>
  </si>
  <si>
    <t xml:space="preserve">32–40%</t>
  </si>
  <si>
    <t xml:space="preserve">Labor % of revenue (fully loaded)</t>
  </si>
  <si>
    <t xml:space="preserve">25–32%</t>
  </si>
  <si>
    <t xml:space="preserve">28–34%</t>
  </si>
  <si>
    <t xml:space="preserve">30–36%</t>
  </si>
  <si>
    <t xml:space="preserve">PRIME COST % of revenue</t>
  </si>
  <si>
    <t xml:space="preserve">55–62%</t>
  </si>
  <si>
    <t xml:space="preserve">58–65%</t>
  </si>
  <si>
    <t xml:space="preserve">60–66%</t>
  </si>
  <si>
    <t xml:space="preserve">62–70%</t>
  </si>
  <si>
    <t xml:space="preserve">Rent / occupancy % of revenue</t>
  </si>
  <si>
    <t xml:space="preserve">6–10%</t>
  </si>
  <si>
    <t xml:space="preserve">6–8%</t>
  </si>
  <si>
    <t xml:space="preserve">5–8%</t>
  </si>
  <si>
    <t xml:space="preserve">Royalties (franchise) % of revenue</t>
  </si>
  <si>
    <t xml:space="preserve">5–7%</t>
  </si>
  <si>
    <t xml:space="preserve">—</t>
  </si>
  <si>
    <t xml:space="preserve">Marketing % of revenue</t>
  </si>
  <si>
    <t xml:space="preserve">2–5%</t>
  </si>
  <si>
    <t xml:space="preserve">2–4%</t>
  </si>
  <si>
    <t xml:space="preserve">1–3%</t>
  </si>
  <si>
    <t xml:space="preserve">Utilities % of revenue</t>
  </si>
  <si>
    <t xml:space="preserve">Net income % of revenue</t>
  </si>
  <si>
    <t xml:space="preserve">8–15%</t>
  </si>
  <si>
    <t xml:space="preserve">6–12%</t>
  </si>
  <si>
    <t xml:space="preserve">4–10%</t>
  </si>
  <si>
    <t xml:space="preserve">5–12%</t>
  </si>
  <si>
    <t xml:space="preserve">Source</t>
  </si>
  <si>
    <t xml:space="preserve">Composite of National Restaurant Association industry data, Restaurant365 industry surveys, and operator-published P&amp;Ls. Use as directional ranges, not absolutes.</t>
  </si>
  <si>
    <t xml:space="preserve">Why this exists</t>
  </si>
  <si>
    <t xml:space="preserve">Most restaurant P&amp;Ls show up two weeks after the month closes — too late to fix anything. This worksheet is built for the operator who wants to look at one number every day and know whether the day was a win or a leak.</t>
  </si>
  <si>
    <t xml:space="preserve">Color legend</t>
  </si>
  <si>
    <t xml:space="preserve">• Blue text  →  cells you fill in (your numbers).</t>
  </si>
  <si>
    <t xml:space="preserve">• Black text  →  formulas (don't overwrite — they auto-update).</t>
  </si>
  <si>
    <t xml:space="preserve">• Yellow background  →  the most important number on the page (today's net income, key benchmarks).</t>
  </si>
  <si>
    <t xml:space="preserve">• Cream / hint  →  italic explanation text.</t>
  </si>
  <si>
    <t xml:space="preserve">Your 5-minute daily ritual</t>
  </si>
  <si>
    <t xml:space="preserve">1. Open the Daily P&amp;L tab. Today's date is filled in for you.</t>
  </si>
  <si>
    <t xml:space="preserve">2. Punch in today's revenue from your POS, and any tips collected outside it.</t>
  </si>
  <si>
    <t xml:space="preserve">3. Punch in today's food, beverage, and paper costs (purchases received OR food sold — pick one method and stick with it).</t>
  </si>
  <si>
    <t xml:space="preserve">4. Punch in today's labor — hourly wages run, salary daily allocation, and payroll burden.</t>
  </si>
  <si>
    <t xml:space="preserve">5. Punch in your daily allocation of operating expenses (rent ÷ 30, utilities estimate, royalties = % of net sales, etc.).</t>
  </si>
  <si>
    <t xml:space="preserve">6. Look at the big yellow box at the top. That's today's number.</t>
  </si>
  <si>
    <t xml:space="preserve">The four numbers that matter most</t>
  </si>
  <si>
    <t xml:space="preserve">Prime cost % (COGS + Labor) ÷ Revenue. Healthy operators run under 55%. Over 65% is bleeding money. This is the single most important metric in restaurant operations.</t>
  </si>
  <si>
    <t xml:space="preserve">Food cost %. QSR target is 28–32%. If you're 3+ points above target for several days in a row, you have a portioning, theft, or pricing problem.</t>
  </si>
  <si>
    <t xml:space="preserve">Labor %. QSR target is 25–32%. If you're high here on slow days, your scheduling is too generous.</t>
  </si>
  <si>
    <t xml:space="preserve">Net income %. The bottom line as a % of revenue. Healthy QSR runs 8–15%. If you're consistently below 5%, something structural is wrong.</t>
  </si>
  <si>
    <t xml:space="preserve">Common red flags</t>
  </si>
  <si>
    <t xml:space="preserve">Prime cost trending up week-over-week with no obvious cause  →  likely shrinkage (waste, theft, over-portioning). Audit inventory.</t>
  </si>
  <si>
    <t xml:space="preserve">Labor % spikes on slow days  →  schedule was built for an optimistic forecast. Tighten next week.</t>
  </si>
  <si>
    <t xml:space="preserve">Food cost % stable but net income falling  →  vendor price creep. Compare invoices to last month.</t>
  </si>
  <si>
    <t xml:space="preserve">Revenue OK, net income negative  →  rent / royalties / fixed costs eating you. Worth a structural conversation.</t>
  </si>
  <si>
    <t xml:space="preserve">If you do this every day for a month</t>
  </si>
  <si>
    <t xml:space="preserve">You'll spot the pattern of where your money is leaking, in real time, instead of finding out at month close. That alone is worth more than most operating tweaks.</t>
  </si>
  <si>
    <t xml:space="preserve">If you'd rather not do it manually</t>
  </si>
  <si>
    <t xml:space="preserve">EasyShiftHQ does this automatically — connects your POS, payroll, and bank, and shows you today's number every morning by 8am. easyshifthq.com.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</si>
</sst>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d&quot;, &quot;yyyy"/>
    <numFmt numFmtId="166" formatCode="\$#,##0;&quot;($&quot;#,##0\);\–"/>
    <numFmt numFmtId="167" formatCode="0.0%;[RED]\-0.0%;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1C1917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78716C"/>
      <name val="Arial"/>
      <family val="0"/>
      <charset val="1"/>
    </font>
    <font>
      <b val="true"/>
      <sz val="10"/>
      <color rgb="FF57534E"/>
      <name val="Arial"/>
      <family val="0"/>
      <charset val="1"/>
    </font>
    <font>
      <b val="true"/>
      <sz val="22"/>
      <color rgb="FF1C191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1C1917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FFFBEB"/>
        <bgColor rgb="FFFFFFFF"/>
      </patternFill>
    </fill>
    <fill>
      <patternFill patternType="solid">
        <fgColor rgb="FFFEF3C7"/>
        <bgColor rgb="FFFFFBEB"/>
      </patternFill>
    </fill>
    <fill>
      <patternFill patternType="solid">
        <fgColor rgb="FFF5F4F3"/>
        <bgColor rgb="FFFFFBE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  <border diagonalUp="false" diagonalDown="false">
      <left style="medium">
        <color rgb="FFC2410C"/>
      </left>
      <right style="thin">
        <color rgb="FFD6D3D1"/>
      </right>
      <top style="medium">
        <color rgb="FFC2410C"/>
      </top>
      <bottom style="medium">
        <color rgb="FFC2410C"/>
      </bottom>
      <diagonal/>
    </border>
    <border diagonalUp="false" diagonalDown="false">
      <left style="thin">
        <color rgb="FFD6D3D1"/>
      </left>
      <right style="thin">
        <color rgb="FFD6D3D1"/>
      </right>
      <top style="medium">
        <color rgb="FFC2410C"/>
      </top>
      <bottom style="medium">
        <color rgb="FFC2410C"/>
      </bottom>
      <diagonal/>
    </border>
    <border diagonalUp="false" diagonalDown="false">
      <left style="thin">
        <color rgb="FFD6D3D1"/>
      </left>
      <right style="medium">
        <color rgb="FFC2410C"/>
      </right>
      <top style="medium">
        <color rgb="FFC2410C"/>
      </top>
      <bottom style="medium">
        <color rgb="FFC2410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16C"/>
      <rgbColor rgb="FF9999FF"/>
      <rgbColor rgb="FF993366"/>
      <rgbColor rgb="FFFEF3C7"/>
      <rgbColor rgb="FFF5F4F3"/>
      <rgbColor rgb="FF660066"/>
      <rgbColor rgb="FFFF8080"/>
      <rgbColor rgb="FF0066CC"/>
      <rgbColor rgb="FFD6D3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534E"/>
      <rgbColor rgb="FF969696"/>
      <rgbColor rgb="FF003366"/>
      <rgbColor rgb="FF339966"/>
      <rgbColor rgb="FF003300"/>
      <rgbColor rgb="FF1C1917"/>
      <rgbColor rgb="FFC241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6.85" hidden="false" customHeight="false" outlineLevel="0" collapsed="false">
      <c r="A2" s="2" t="s">
        <v>1</v>
      </c>
      <c r="B2" s="3" t="s">
        <v>2</v>
      </c>
      <c r="D2" s="4" t="s">
        <v>3</v>
      </c>
      <c r="E2" s="5" t="n">
        <f aca="true">TODAY()</f>
        <v>46149</v>
      </c>
      <c r="F2" s="6" t="str">
        <f aca="false">TEXT(E2,"dddd")</f>
        <v>Thursday</v>
      </c>
    </row>
    <row r="3" customFormat="false" ht="15" hidden="false" customHeight="false" outlineLevel="0" collapsed="false">
      <c r="A3" s="7" t="s">
        <v>4</v>
      </c>
      <c r="B3" s="7"/>
      <c r="C3" s="7"/>
      <c r="D3" s="7"/>
      <c r="E3" s="7"/>
      <c r="F3" s="7"/>
    </row>
    <row r="4" customFormat="false" ht="37.5" hidden="false" customHeight="true" outlineLevel="0" collapsed="false">
      <c r="A4" s="8" t="str">
        <f aca="false">IF(B13=0,"Fill in revenue and costs below",IF(B40&gt;=0,"+ "&amp;TEXT(B40,"$#,##0")&amp;"  —  you made money today","- "&amp;TEXT(ABS(B40),"$#,##0")&amp;"  —  you lost money today"))</f>
        <v>Fill in revenue and costs below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9" t="str">
        <f aca="false">IF(B13=0,"",IF(B28/B13&lt;=0.55,"Healthy: prime cost is "&amp;TEXT(B28/B13,"0.0%")&amp;" of revenue (target: under 55%).",IF(B28/B13&lt;=0.6,"On the edge: prime cost is "&amp;TEXT(B28/B13,"0.0%")&amp;" of revenue (target: under 55%).","Tight margins: prime cost is "&amp;TEXT(B28/B13,"0.0%")&amp;" of revenue. Anything over 65% is a problem.")))</f>
        <v/>
      </c>
      <c r="B5" s="9"/>
      <c r="C5" s="9"/>
      <c r="D5" s="9"/>
      <c r="E5" s="9"/>
      <c r="F5" s="9"/>
    </row>
    <row r="7" customFormat="false" ht="21.75" hidden="false" customHeight="true" outlineLevel="0" collapsed="false">
      <c r="A7" s="10"/>
      <c r="B7" s="11" t="s">
        <v>5</v>
      </c>
      <c r="C7" s="11" t="s">
        <v>6</v>
      </c>
      <c r="D7" s="11" t="s">
        <v>7</v>
      </c>
      <c r="E7" s="11" t="s">
        <v>8</v>
      </c>
      <c r="F7" s="11" t="s">
        <v>9</v>
      </c>
    </row>
    <row r="9" customFormat="false" ht="21.75" hidden="false" customHeight="true" outlineLevel="0" collapsed="false">
      <c r="A9" s="12" t="s">
        <v>10</v>
      </c>
      <c r="B9" s="12"/>
      <c r="C9" s="12"/>
      <c r="D9" s="12"/>
      <c r="E9" s="12"/>
      <c r="F9" s="12"/>
    </row>
    <row r="10" customFormat="false" ht="23.85" hidden="false" customHeight="false" outlineLevel="0" collapsed="false">
      <c r="A10" s="13" t="s">
        <v>11</v>
      </c>
      <c r="B10" s="14"/>
      <c r="C10" s="14"/>
      <c r="E10" s="6" t="s">
        <v>12</v>
      </c>
    </row>
    <row r="11" customFormat="false" ht="23.85" hidden="false" customHeight="false" outlineLevel="0" collapsed="false">
      <c r="A11" s="13" t="s">
        <v>13</v>
      </c>
      <c r="B11" s="14"/>
      <c r="C11" s="14"/>
      <c r="E11" s="6" t="s">
        <v>14</v>
      </c>
    </row>
    <row r="12" customFormat="false" ht="15" hidden="false" customHeight="false" outlineLevel="0" collapsed="false">
      <c r="A12" s="13" t="s">
        <v>15</v>
      </c>
      <c r="B12" s="14"/>
      <c r="C12" s="14"/>
    </row>
    <row r="13" customFormat="false" ht="15" hidden="false" customHeight="false" outlineLevel="0" collapsed="false">
      <c r="A13" s="10" t="s">
        <v>16</v>
      </c>
      <c r="B13" s="15" t="n">
        <f aca="false">SUM(B10:B12)</f>
        <v>0</v>
      </c>
      <c r="C13" s="15" t="n">
        <f aca="false">SUM(C10:C12)</f>
        <v>0</v>
      </c>
      <c r="D13" s="16" t="n">
        <f aca="false">IF(B13=0,0,B13/B13)</f>
        <v>0</v>
      </c>
      <c r="E13" s="17" t="s">
        <v>17</v>
      </c>
      <c r="F13" s="18"/>
    </row>
    <row r="14" customFormat="false" ht="6" hidden="false" customHeight="true" outlineLevel="0" collapsed="false"/>
    <row r="15" customFormat="false" ht="21.75" hidden="false" customHeight="true" outlineLevel="0" collapsed="false">
      <c r="A15" s="12" t="s">
        <v>18</v>
      </c>
      <c r="B15" s="12"/>
      <c r="C15" s="12"/>
      <c r="D15" s="12"/>
      <c r="E15" s="12"/>
      <c r="F15" s="12"/>
    </row>
    <row r="16" customFormat="false" ht="26.85" hidden="false" customHeight="false" outlineLevel="0" collapsed="false">
      <c r="A16" s="13" t="s">
        <v>19</v>
      </c>
      <c r="B16" s="14"/>
      <c r="C16" s="14"/>
      <c r="E16" s="6" t="s">
        <v>20</v>
      </c>
    </row>
    <row r="17" customFormat="false" ht="15" hidden="false" customHeight="false" outlineLevel="0" collapsed="false">
      <c r="A17" s="13" t="s">
        <v>21</v>
      </c>
      <c r="B17" s="14"/>
      <c r="C17" s="14"/>
    </row>
    <row r="18" customFormat="false" ht="15" hidden="false" customHeight="false" outlineLevel="0" collapsed="false">
      <c r="A18" s="13" t="s">
        <v>22</v>
      </c>
      <c r="B18" s="14"/>
      <c r="C18" s="14"/>
    </row>
    <row r="19" customFormat="false" ht="15" hidden="false" customHeight="false" outlineLevel="0" collapsed="false">
      <c r="A19" s="10" t="s">
        <v>23</v>
      </c>
      <c r="B19" s="15" t="n">
        <f aca="false">SUM(B16:B18)</f>
        <v>0</v>
      </c>
      <c r="C19" s="15" t="n">
        <f aca="false">SUM(C16:C18)</f>
        <v>0</v>
      </c>
      <c r="D19" s="16" t="n">
        <f aca="false">IF(B13=0,0,B19/B13)</f>
        <v>0</v>
      </c>
      <c r="E19" s="17" t="s">
        <v>24</v>
      </c>
      <c r="F19" s="18" t="str">
        <f aca="false">IF(B13=0,"",IF(B19/B13&lt;=0.32,"OK",IF(B19/B13&lt;=0.36,"Watch","High")))</f>
        <v/>
      </c>
    </row>
    <row r="20" customFormat="false" ht="6" hidden="false" customHeight="true" outlineLevel="0" collapsed="false"/>
    <row r="21" customFormat="false" ht="21.75" hidden="false" customHeight="true" outlineLevel="0" collapsed="false">
      <c r="A21" s="12" t="s">
        <v>25</v>
      </c>
      <c r="B21" s="12"/>
      <c r="C21" s="12"/>
      <c r="D21" s="12"/>
      <c r="E21" s="12"/>
      <c r="F21" s="12"/>
    </row>
    <row r="22" customFormat="false" ht="15" hidden="false" customHeight="false" outlineLevel="0" collapsed="false">
      <c r="A22" s="13" t="s">
        <v>26</v>
      </c>
      <c r="B22" s="14"/>
      <c r="C22" s="14"/>
      <c r="E22" s="6" t="s">
        <v>27</v>
      </c>
    </row>
    <row r="23" customFormat="false" ht="15" hidden="false" customHeight="false" outlineLevel="0" collapsed="false">
      <c r="A23" s="13" t="s">
        <v>28</v>
      </c>
      <c r="B23" s="14"/>
      <c r="C23" s="14"/>
      <c r="E23" s="6" t="s">
        <v>29</v>
      </c>
    </row>
    <row r="24" customFormat="false" ht="23.85" hidden="false" customHeight="false" outlineLevel="0" collapsed="false">
      <c r="A24" s="13" t="s">
        <v>30</v>
      </c>
      <c r="B24" s="14"/>
      <c r="C24" s="14"/>
      <c r="E24" s="6" t="s">
        <v>31</v>
      </c>
    </row>
    <row r="25" customFormat="false" ht="15" hidden="false" customHeight="false" outlineLevel="0" collapsed="false">
      <c r="A25" s="10" t="s">
        <v>32</v>
      </c>
      <c r="B25" s="15" t="n">
        <f aca="false">SUM(B22:B24)</f>
        <v>0</v>
      </c>
      <c r="C25" s="15" t="n">
        <f aca="false">SUM(C22:C24)</f>
        <v>0</v>
      </c>
      <c r="D25" s="16" t="n">
        <f aca="false">IF(B13=0,0,B25/B13)</f>
        <v>0</v>
      </c>
      <c r="E25" s="17" t="s">
        <v>33</v>
      </c>
      <c r="F25" s="18" t="str">
        <f aca="false">IF(B13=0,"",IF(B25/B13&lt;=0.32,"OK",IF(B25/B13&lt;=0.36,"Watch","High")))</f>
        <v/>
      </c>
    </row>
    <row r="26" customFormat="false" ht="6" hidden="false" customHeight="true" outlineLevel="0" collapsed="false"/>
    <row r="27" customFormat="false" ht="21.75" hidden="false" customHeight="true" outlineLevel="0" collapsed="false">
      <c r="A27" s="12" t="s">
        <v>34</v>
      </c>
      <c r="B27" s="12"/>
      <c r="C27" s="12"/>
      <c r="D27" s="12"/>
      <c r="E27" s="12"/>
      <c r="F27" s="12"/>
    </row>
    <row r="28" customFormat="false" ht="23.85" hidden="false" customHeight="false" outlineLevel="0" collapsed="false">
      <c r="A28" s="10" t="s">
        <v>35</v>
      </c>
      <c r="B28" s="15" t="n">
        <f aca="false">B19+B25</f>
        <v>0</v>
      </c>
      <c r="C28" s="15" t="n">
        <f aca="false">C19+C25</f>
        <v>0</v>
      </c>
      <c r="D28" s="16" t="n">
        <f aca="false">IF(B13=0,0,B28/B13)</f>
        <v>0</v>
      </c>
      <c r="E28" s="17" t="s">
        <v>36</v>
      </c>
      <c r="F28" s="18" t="str">
        <f aca="false">IF(B13=0,"",IF(B28/B13&lt;=0.55,"Healthy",IF(B28/B13&lt;=0.6,"OK",IF(B28/B13&lt;=0.65,"Tight","Bleeding"))))</f>
        <v/>
      </c>
    </row>
    <row r="29" customFormat="false" ht="6" hidden="false" customHeight="true" outlineLevel="0" collapsed="false"/>
    <row r="30" customFormat="false" ht="21.75" hidden="false" customHeight="true" outlineLevel="0" collapsed="false">
      <c r="A30" s="12" t="s">
        <v>37</v>
      </c>
      <c r="B30" s="12"/>
      <c r="C30" s="12"/>
      <c r="D30" s="12"/>
      <c r="E30" s="12"/>
      <c r="F30" s="12"/>
    </row>
    <row r="31" customFormat="false" ht="15" hidden="false" customHeight="false" outlineLevel="0" collapsed="false">
      <c r="A31" s="13" t="s">
        <v>38</v>
      </c>
      <c r="B31" s="14"/>
      <c r="C31" s="14"/>
    </row>
    <row r="32" customFormat="false" ht="15" hidden="false" customHeight="false" outlineLevel="0" collapsed="false">
      <c r="A32" s="13" t="s">
        <v>39</v>
      </c>
      <c r="B32" s="14"/>
      <c r="C32" s="14"/>
    </row>
    <row r="33" customFormat="false" ht="23.85" hidden="false" customHeight="false" outlineLevel="0" collapsed="false">
      <c r="A33" s="13" t="s">
        <v>40</v>
      </c>
      <c r="B33" s="14"/>
      <c r="C33" s="14"/>
      <c r="E33" s="6" t="s">
        <v>41</v>
      </c>
    </row>
    <row r="34" customFormat="false" ht="15" hidden="false" customHeight="false" outlineLevel="0" collapsed="false">
      <c r="A34" s="13" t="s">
        <v>42</v>
      </c>
      <c r="B34" s="14"/>
      <c r="C34" s="14"/>
    </row>
    <row r="35" customFormat="false" ht="26.85" hidden="false" customHeight="false" outlineLevel="0" collapsed="false">
      <c r="A35" s="13" t="s">
        <v>43</v>
      </c>
      <c r="B35" s="14"/>
      <c r="C35" s="14"/>
    </row>
    <row r="36" customFormat="false" ht="15" hidden="false" customHeight="false" outlineLevel="0" collapsed="false">
      <c r="A36" s="10" t="s">
        <v>44</v>
      </c>
      <c r="B36" s="15" t="n">
        <f aca="false">SUM(B31:B35)</f>
        <v>0</v>
      </c>
      <c r="C36" s="15" t="n">
        <f aca="false">SUM(C31:C35)</f>
        <v>0</v>
      </c>
      <c r="D36" s="16" t="n">
        <f aca="false">IF(B13=0,0,B36/B13)</f>
        <v>0</v>
      </c>
      <c r="E36" s="17" t="s">
        <v>45</v>
      </c>
      <c r="F36" s="18" t="str">
        <f aca="false">IF(B13=0,"",IF(B36/B13&lt;=0.25,"OK",IF(B36/B13&lt;=0.3,"Watch","High")))</f>
        <v/>
      </c>
    </row>
    <row r="37" customFormat="false" ht="6" hidden="false" customHeight="true" outlineLevel="0" collapsed="false"/>
    <row r="38" customFormat="false" ht="21.75" hidden="false" customHeight="true" outlineLevel="0" collapsed="false">
      <c r="A38" s="12" t="s">
        <v>46</v>
      </c>
      <c r="B38" s="12"/>
      <c r="C38" s="12"/>
      <c r="D38" s="12"/>
      <c r="E38" s="12"/>
      <c r="F38" s="12"/>
    </row>
    <row r="39" customFormat="false" ht="26.85" hidden="false" customHeight="false" outlineLevel="0" collapsed="false">
      <c r="A39" s="19" t="s">
        <v>47</v>
      </c>
      <c r="B39" s="20" t="n">
        <f aca="false">B19+B25+B36</f>
        <v>0</v>
      </c>
      <c r="C39" s="20" t="n">
        <f aca="false">C19+C25+C36</f>
        <v>0</v>
      </c>
      <c r="D39" s="21" t="n">
        <f aca="false">IF(B13=0,0,B39/B13)</f>
        <v>0</v>
      </c>
    </row>
    <row r="40" customFormat="false" ht="26.85" hidden="false" customHeight="false" outlineLevel="0" collapsed="false">
      <c r="A40" s="22" t="s">
        <v>48</v>
      </c>
      <c r="B40" s="23" t="n">
        <f aca="false">B13-B39</f>
        <v>0</v>
      </c>
      <c r="C40" s="23" t="n">
        <f aca="false">C13-C39</f>
        <v>0</v>
      </c>
      <c r="D40" s="24" t="n">
        <f aca="false">IF(B13=0,0,B40/B13)</f>
        <v>0</v>
      </c>
      <c r="E40" s="25" t="s">
        <v>49</v>
      </c>
    </row>
    <row r="41" customFormat="false" ht="26.85" hidden="false" customHeight="false" outlineLevel="0" collapsed="false">
      <c r="A41" s="13" t="s">
        <v>50</v>
      </c>
      <c r="B41" s="20" t="n">
        <f aca="false">B39</f>
        <v>0</v>
      </c>
      <c r="E41" s="6" t="s">
        <v>51</v>
      </c>
    </row>
    <row r="43" customFormat="false" ht="21.75" hidden="false" customHeight="true" outlineLevel="0" collapsed="false">
      <c r="A43" s="12" t="s">
        <v>52</v>
      </c>
      <c r="B43" s="12"/>
      <c r="C43" s="12"/>
      <c r="D43" s="12"/>
      <c r="E43" s="12"/>
      <c r="F43" s="12"/>
    </row>
    <row r="44" customFormat="false" ht="15" hidden="false" customHeight="false" outlineLevel="0" collapsed="false">
      <c r="A44" s="13" t="s">
        <v>53</v>
      </c>
      <c r="B44" s="26" t="str">
        <f aca="false">IF(B13=0,"—",IF(B40&gt;=0,"Yes","No"))</f>
        <v>—</v>
      </c>
    </row>
    <row r="45" customFormat="false" ht="15" hidden="false" customHeight="false" outlineLevel="0" collapsed="false">
      <c r="A45" s="13" t="s">
        <v>54</v>
      </c>
      <c r="B45" s="26" t="str">
        <f aca="false">IF(B13=0,"—",IF(B28/B13&lt;=0.6,"Yes","No"))</f>
        <v>—</v>
      </c>
    </row>
    <row r="46" customFormat="false" ht="15" hidden="false" customHeight="false" outlineLevel="0" collapsed="false">
      <c r="A46" s="13" t="s">
        <v>55</v>
      </c>
      <c r="B46" s="26" t="str">
        <f aca="false">IF(B13=0,"—",IF(B19/B13&lt;=0.32,"Yes","No"))</f>
        <v>—</v>
      </c>
    </row>
    <row r="47" customFormat="false" ht="15" hidden="false" customHeight="false" outlineLevel="0" collapsed="false">
      <c r="A47" s="13" t="s">
        <v>56</v>
      </c>
      <c r="B47" s="26" t="str">
        <f aca="false">IF(B13=0,"—",IF(B25/B13&lt;=0.32,"Yes","No"))</f>
        <v>—</v>
      </c>
    </row>
    <row r="48" customFormat="false" ht="15" hidden="false" customHeight="false" outlineLevel="0" collapsed="false">
      <c r="A48" s="13" t="s">
        <v>57</v>
      </c>
      <c r="B48" s="26" t="str">
        <f aca="false">IF(OR(B13=0,C13=0),"—",IF(B40&gt;C40,"Yes","No"))</f>
        <v>—</v>
      </c>
    </row>
  </sheetData>
  <mergeCells count="11">
    <mergeCell ref="A1:F1"/>
    <mergeCell ref="A3:F3"/>
    <mergeCell ref="A4:F4"/>
    <mergeCell ref="A5:F5"/>
    <mergeCell ref="A9:F9"/>
    <mergeCell ref="A15:F15"/>
    <mergeCell ref="A21:F21"/>
    <mergeCell ref="A27:F27"/>
    <mergeCell ref="A30:F30"/>
    <mergeCell ref="A38:F38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4"/>
  </cols>
  <sheetData>
    <row r="1" customFormat="false" ht="30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59</v>
      </c>
      <c r="B2" s="27" t="n">
        <f aca="true">TODAY()-WEEKDAY(TODAY(),3)</f>
        <v>46146</v>
      </c>
    </row>
    <row r="4" customFormat="false" ht="15" hidden="false" customHeight="false" outlineLevel="0" collapsed="false">
      <c r="B4" s="11" t="s">
        <v>60</v>
      </c>
      <c r="C4" s="11" t="s">
        <v>61</v>
      </c>
      <c r="D4" s="11" t="s">
        <v>62</v>
      </c>
      <c r="E4" s="11" t="s">
        <v>63</v>
      </c>
      <c r="F4" s="11" t="s">
        <v>64</v>
      </c>
      <c r="G4" s="11" t="s">
        <v>65</v>
      </c>
      <c r="H4" s="11" t="s">
        <v>66</v>
      </c>
      <c r="I4" s="11" t="s">
        <v>67</v>
      </c>
    </row>
    <row r="5" customFormat="false" ht="15" hidden="false" customHeight="false" outlineLevel="0" collapsed="false">
      <c r="A5" s="13" t="s">
        <v>68</v>
      </c>
      <c r="B5" s="14"/>
      <c r="C5" s="14"/>
      <c r="D5" s="14"/>
      <c r="E5" s="14"/>
      <c r="F5" s="14"/>
      <c r="G5" s="14"/>
      <c r="H5" s="14"/>
      <c r="I5" s="28" t="n">
        <f aca="false">SUM(B5:H5)</f>
        <v>0</v>
      </c>
    </row>
    <row r="6" customFormat="false" ht="15" hidden="false" customHeight="false" outlineLevel="0" collapsed="false">
      <c r="A6" s="13" t="s">
        <v>69</v>
      </c>
      <c r="B6" s="14"/>
      <c r="C6" s="14"/>
      <c r="D6" s="14"/>
      <c r="E6" s="14"/>
      <c r="F6" s="14"/>
      <c r="G6" s="14"/>
      <c r="H6" s="14"/>
      <c r="I6" s="28" t="n">
        <f aca="false">SUM(B6:H6)</f>
        <v>0</v>
      </c>
    </row>
    <row r="7" customFormat="false" ht="15" hidden="false" customHeight="false" outlineLevel="0" collapsed="false">
      <c r="A7" s="13" t="s">
        <v>21</v>
      </c>
      <c r="B7" s="14"/>
      <c r="C7" s="14"/>
      <c r="D7" s="14"/>
      <c r="E7" s="14"/>
      <c r="F7" s="14"/>
      <c r="G7" s="14"/>
      <c r="H7" s="14"/>
      <c r="I7" s="28" t="n">
        <f aca="false">SUM(B7:H7)</f>
        <v>0</v>
      </c>
    </row>
    <row r="8" customFormat="false" ht="15" hidden="false" customHeight="false" outlineLevel="0" collapsed="false">
      <c r="A8" s="13" t="s">
        <v>70</v>
      </c>
      <c r="B8" s="14"/>
      <c r="C8" s="14"/>
      <c r="D8" s="14"/>
      <c r="E8" s="14"/>
      <c r="F8" s="14"/>
      <c r="G8" s="14"/>
      <c r="H8" s="14"/>
      <c r="I8" s="28" t="n">
        <f aca="false">SUM(B8:H8)</f>
        <v>0</v>
      </c>
    </row>
    <row r="9" customFormat="false" ht="15" hidden="false" customHeight="false" outlineLevel="0" collapsed="false">
      <c r="A9" s="19" t="s">
        <v>23</v>
      </c>
      <c r="B9" s="28" t="n">
        <f aca="false">SUM(B6:B8)</f>
        <v>0</v>
      </c>
      <c r="C9" s="28" t="n">
        <f aca="false">SUM(C6:C8)</f>
        <v>0</v>
      </c>
      <c r="D9" s="28" t="n">
        <f aca="false">SUM(D6:D8)</f>
        <v>0</v>
      </c>
      <c r="E9" s="28" t="n">
        <f aca="false">SUM(E6:E8)</f>
        <v>0</v>
      </c>
      <c r="F9" s="28" t="n">
        <f aca="false">SUM(F6:F8)</f>
        <v>0</v>
      </c>
      <c r="G9" s="28" t="n">
        <f aca="false">SUM(G6:G8)</f>
        <v>0</v>
      </c>
      <c r="H9" s="28" t="n">
        <f aca="false">SUM(H6:H8)</f>
        <v>0</v>
      </c>
      <c r="I9" s="28" t="n">
        <f aca="false">SUM(I6:I8)</f>
        <v>0</v>
      </c>
    </row>
    <row r="10" customFormat="false" ht="15" hidden="false" customHeight="false" outlineLevel="0" collapsed="false">
      <c r="A10" s="13" t="s">
        <v>71</v>
      </c>
      <c r="B10" s="14"/>
      <c r="C10" s="14"/>
      <c r="D10" s="14"/>
      <c r="E10" s="14"/>
      <c r="F10" s="14"/>
      <c r="G10" s="14"/>
      <c r="H10" s="14"/>
      <c r="I10" s="28" t="n">
        <f aca="false">SUM(B10:H10)</f>
        <v>0</v>
      </c>
    </row>
    <row r="11" customFormat="false" ht="15" hidden="false" customHeight="false" outlineLevel="0" collapsed="false">
      <c r="A11" s="13" t="s">
        <v>72</v>
      </c>
      <c r="B11" s="14"/>
      <c r="C11" s="14"/>
      <c r="D11" s="14"/>
      <c r="E11" s="14"/>
      <c r="F11" s="14"/>
      <c r="G11" s="14"/>
      <c r="H11" s="14"/>
      <c r="I11" s="28" t="n">
        <f aca="false">SUM(B11:H11)</f>
        <v>0</v>
      </c>
    </row>
    <row r="12" customFormat="false" ht="15" hidden="false" customHeight="false" outlineLevel="0" collapsed="false">
      <c r="A12" s="13" t="s">
        <v>30</v>
      </c>
      <c r="B12" s="14"/>
      <c r="C12" s="14"/>
      <c r="D12" s="14"/>
      <c r="E12" s="14"/>
      <c r="F12" s="14"/>
      <c r="G12" s="14"/>
      <c r="H12" s="14"/>
      <c r="I12" s="28" t="n">
        <f aca="false">SUM(B12:H12)</f>
        <v>0</v>
      </c>
    </row>
    <row r="13" customFormat="false" ht="15" hidden="false" customHeight="false" outlineLevel="0" collapsed="false">
      <c r="A13" s="19" t="s">
        <v>32</v>
      </c>
      <c r="B13" s="28" t="n">
        <f aca="false">SUM(B10:B12)</f>
        <v>0</v>
      </c>
      <c r="C13" s="28" t="n">
        <f aca="false">SUM(C10:C12)</f>
        <v>0</v>
      </c>
      <c r="D13" s="28" t="n">
        <f aca="false">SUM(D10:D12)</f>
        <v>0</v>
      </c>
      <c r="E13" s="28" t="n">
        <f aca="false">SUM(E10:E12)</f>
        <v>0</v>
      </c>
      <c r="F13" s="28" t="n">
        <f aca="false">SUM(F10:F12)</f>
        <v>0</v>
      </c>
      <c r="G13" s="28" t="n">
        <f aca="false">SUM(G10:G12)</f>
        <v>0</v>
      </c>
      <c r="H13" s="28" t="n">
        <f aca="false">SUM(H10:H12)</f>
        <v>0</v>
      </c>
      <c r="I13" s="28" t="n">
        <f aca="false">SUM(I10:I12)</f>
        <v>0</v>
      </c>
    </row>
    <row r="14" customFormat="false" ht="15" hidden="false" customHeight="false" outlineLevel="0" collapsed="false">
      <c r="A14" s="19" t="s">
        <v>35</v>
      </c>
      <c r="B14" s="28" t="n">
        <f aca="false">B9+B13</f>
        <v>0</v>
      </c>
      <c r="C14" s="28" t="n">
        <f aca="false">C9+C13</f>
        <v>0</v>
      </c>
      <c r="D14" s="28" t="n">
        <f aca="false">D9+D13</f>
        <v>0</v>
      </c>
      <c r="E14" s="28" t="n">
        <f aca="false">E9+E13</f>
        <v>0</v>
      </c>
      <c r="F14" s="28" t="n">
        <f aca="false">F9+F13</f>
        <v>0</v>
      </c>
      <c r="G14" s="28" t="n">
        <f aca="false">G9+G13</f>
        <v>0</v>
      </c>
      <c r="H14" s="28" t="n">
        <f aca="false">H9+H13</f>
        <v>0</v>
      </c>
      <c r="I14" s="28" t="n">
        <f aca="false">I9+I13</f>
        <v>0</v>
      </c>
    </row>
    <row r="15" customFormat="false" ht="15" hidden="false" customHeight="false" outlineLevel="0" collapsed="false">
      <c r="A15" s="13" t="s">
        <v>73</v>
      </c>
      <c r="B15" s="14"/>
      <c r="C15" s="14"/>
      <c r="D15" s="14"/>
      <c r="E15" s="14"/>
      <c r="F15" s="14"/>
      <c r="G15" s="14"/>
      <c r="H15" s="14"/>
      <c r="I15" s="28" t="n">
        <f aca="false">SUM(B15:H15)</f>
        <v>0</v>
      </c>
    </row>
    <row r="16" customFormat="false" ht="15" hidden="false" customHeight="false" outlineLevel="0" collapsed="false">
      <c r="A16" s="19" t="s">
        <v>74</v>
      </c>
      <c r="B16" s="28" t="n">
        <f aca="false">B14+B15</f>
        <v>0</v>
      </c>
      <c r="C16" s="28" t="n">
        <f aca="false">C14+C15</f>
        <v>0</v>
      </c>
      <c r="D16" s="28" t="n">
        <f aca="false">D14+D15</f>
        <v>0</v>
      </c>
      <c r="E16" s="28" t="n">
        <f aca="false">E14+E15</f>
        <v>0</v>
      </c>
      <c r="F16" s="28" t="n">
        <f aca="false">F14+F15</f>
        <v>0</v>
      </c>
      <c r="G16" s="28" t="n">
        <f aca="false">G14+G15</f>
        <v>0</v>
      </c>
      <c r="H16" s="28" t="n">
        <f aca="false">H14+H15</f>
        <v>0</v>
      </c>
      <c r="I16" s="28" t="n">
        <f aca="false">I14+I15</f>
        <v>0</v>
      </c>
    </row>
    <row r="17" customFormat="false" ht="15" hidden="false" customHeight="false" outlineLevel="0" collapsed="false">
      <c r="A17" s="19" t="s">
        <v>75</v>
      </c>
      <c r="B17" s="28" t="n">
        <f aca="false">B5-B16</f>
        <v>0</v>
      </c>
      <c r="C17" s="28" t="n">
        <f aca="false">C5-C16</f>
        <v>0</v>
      </c>
      <c r="D17" s="28" t="n">
        <f aca="false">D5-D16</f>
        <v>0</v>
      </c>
      <c r="E17" s="28" t="n">
        <f aca="false">E5-E16</f>
        <v>0</v>
      </c>
      <c r="F17" s="28" t="n">
        <f aca="false">F5-F16</f>
        <v>0</v>
      </c>
      <c r="G17" s="28" t="n">
        <f aca="false">G5-G16</f>
        <v>0</v>
      </c>
      <c r="H17" s="28" t="n">
        <f aca="false">H5-H16</f>
        <v>0</v>
      </c>
      <c r="I17" s="28" t="n">
        <f aca="false">I5-I16</f>
        <v>0</v>
      </c>
    </row>
    <row r="18" customFormat="false" ht="15" hidden="false" customHeight="false" outlineLevel="0" collapsed="false">
      <c r="A18" s="19" t="s">
        <v>76</v>
      </c>
      <c r="B18" s="16" t="n">
        <f aca="false">IF(B5=0,0,B17/B5)</f>
        <v>0</v>
      </c>
      <c r="C18" s="16" t="n">
        <f aca="false">IF(C5=0,0,C17/C5)</f>
        <v>0</v>
      </c>
      <c r="D18" s="16" t="n">
        <f aca="false">IF(D5=0,0,D17/D5)</f>
        <v>0</v>
      </c>
      <c r="E18" s="16" t="n">
        <f aca="false">IF(E5=0,0,E17/E5)</f>
        <v>0</v>
      </c>
      <c r="F18" s="16" t="n">
        <f aca="false">IF(F5=0,0,F17/F5)</f>
        <v>0</v>
      </c>
      <c r="G18" s="16" t="n">
        <f aca="false">IF(G5=0,0,G17/G5)</f>
        <v>0</v>
      </c>
      <c r="H18" s="16" t="n">
        <f aca="false">IF(H5=0,0,H17/H5)</f>
        <v>0</v>
      </c>
      <c r="I18" s="16" t="n">
        <f aca="false">IF(I5=0,0,I17/I5)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8"/>
  </cols>
  <sheetData>
    <row r="1" customFormat="false" ht="30" hidden="false" customHeight="true" outlineLevel="0" collapsed="false">
      <c r="A1" s="1" t="s">
        <v>77</v>
      </c>
      <c r="B1" s="1"/>
      <c r="C1" s="1"/>
      <c r="D1" s="1"/>
      <c r="E1" s="1"/>
    </row>
    <row r="2" customFormat="false" ht="23.85" hidden="false" customHeight="true" outlineLevel="0" collapsed="false">
      <c r="A2" s="29" t="s">
        <v>78</v>
      </c>
      <c r="B2" s="29"/>
      <c r="C2" s="29"/>
      <c r="D2" s="29"/>
      <c r="E2" s="29"/>
    </row>
    <row r="4" customFormat="false" ht="15" hidden="false" customHeight="false" outlineLevel="0" collapsed="false">
      <c r="B4" s="11" t="s">
        <v>79</v>
      </c>
      <c r="C4" s="11" t="s">
        <v>80</v>
      </c>
      <c r="D4" s="11" t="s">
        <v>81</v>
      </c>
      <c r="E4" s="11" t="s">
        <v>82</v>
      </c>
    </row>
    <row r="5" customFormat="false" ht="15" hidden="false" customHeight="false" outlineLevel="0" collapsed="false">
      <c r="A5" s="13" t="s">
        <v>83</v>
      </c>
      <c r="B5" s="30" t="s">
        <v>84</v>
      </c>
      <c r="C5" s="30" t="s">
        <v>84</v>
      </c>
      <c r="D5" s="30" t="s">
        <v>85</v>
      </c>
      <c r="E5" s="30" t="s">
        <v>86</v>
      </c>
    </row>
    <row r="6" customFormat="false" ht="15" hidden="false" customHeight="false" outlineLevel="0" collapsed="false">
      <c r="A6" s="13" t="s">
        <v>87</v>
      </c>
      <c r="B6" s="30" t="s">
        <v>88</v>
      </c>
      <c r="C6" s="30" t="s">
        <v>89</v>
      </c>
      <c r="D6" s="30" t="s">
        <v>89</v>
      </c>
      <c r="E6" s="30" t="s">
        <v>90</v>
      </c>
    </row>
    <row r="7" customFormat="false" ht="15" hidden="false" customHeight="false" outlineLevel="0" collapsed="false">
      <c r="A7" s="13" t="s">
        <v>91</v>
      </c>
      <c r="B7" s="30" t="s">
        <v>92</v>
      </c>
      <c r="C7" s="30" t="s">
        <v>92</v>
      </c>
      <c r="D7" s="30" t="s">
        <v>93</v>
      </c>
      <c r="E7" s="30" t="s">
        <v>94</v>
      </c>
    </row>
    <row r="8" customFormat="false" ht="15" hidden="false" customHeight="false" outlineLevel="0" collapsed="false">
      <c r="A8" s="13" t="s">
        <v>95</v>
      </c>
      <c r="B8" s="30" t="s">
        <v>96</v>
      </c>
      <c r="C8" s="30" t="s">
        <v>96</v>
      </c>
      <c r="D8" s="30" t="s">
        <v>96</v>
      </c>
      <c r="E8" s="30" t="s">
        <v>97</v>
      </c>
    </row>
    <row r="9" customFormat="false" ht="15" hidden="false" customHeight="false" outlineLevel="0" collapsed="false">
      <c r="A9" s="13" t="s">
        <v>98</v>
      </c>
      <c r="B9" s="30" t="s">
        <v>99</v>
      </c>
      <c r="C9" s="30" t="s">
        <v>100</v>
      </c>
      <c r="D9" s="30" t="s">
        <v>101</v>
      </c>
      <c r="E9" s="30" t="s">
        <v>86</v>
      </c>
    </row>
    <row r="10" customFormat="false" ht="15" hidden="false" customHeight="false" outlineLevel="0" collapsed="false">
      <c r="A10" s="31" t="s">
        <v>102</v>
      </c>
      <c r="B10" s="32" t="s">
        <v>103</v>
      </c>
      <c r="C10" s="32" t="s">
        <v>104</v>
      </c>
      <c r="D10" s="32" t="s">
        <v>105</v>
      </c>
      <c r="E10" s="32" t="s">
        <v>106</v>
      </c>
    </row>
    <row r="11" customFormat="false" ht="15" hidden="false" customHeight="false" outlineLevel="0" collapsed="false">
      <c r="A11" s="13" t="s">
        <v>107</v>
      </c>
      <c r="B11" s="30" t="s">
        <v>108</v>
      </c>
      <c r="C11" s="30" t="s">
        <v>108</v>
      </c>
      <c r="D11" s="30" t="s">
        <v>109</v>
      </c>
      <c r="E11" s="30" t="s">
        <v>110</v>
      </c>
    </row>
    <row r="12" customFormat="false" ht="15" hidden="false" customHeight="false" outlineLevel="0" collapsed="false">
      <c r="A12" s="13" t="s">
        <v>111</v>
      </c>
      <c r="B12" s="30" t="s">
        <v>112</v>
      </c>
      <c r="C12" s="30" t="s">
        <v>112</v>
      </c>
      <c r="D12" s="30" t="s">
        <v>113</v>
      </c>
      <c r="E12" s="30" t="s">
        <v>113</v>
      </c>
    </row>
    <row r="13" customFormat="false" ht="15" hidden="false" customHeight="false" outlineLevel="0" collapsed="false">
      <c r="A13" s="13" t="s">
        <v>114</v>
      </c>
      <c r="B13" s="30" t="s">
        <v>115</v>
      </c>
      <c r="C13" s="30" t="s">
        <v>116</v>
      </c>
      <c r="D13" s="30" t="s">
        <v>116</v>
      </c>
      <c r="E13" s="30" t="s">
        <v>117</v>
      </c>
    </row>
    <row r="14" customFormat="false" ht="15" hidden="false" customHeight="false" outlineLevel="0" collapsed="false">
      <c r="A14" s="13" t="s">
        <v>118</v>
      </c>
      <c r="B14" s="30" t="s">
        <v>92</v>
      </c>
      <c r="C14" s="30" t="s">
        <v>92</v>
      </c>
      <c r="D14" s="30" t="s">
        <v>116</v>
      </c>
      <c r="E14" s="30" t="s">
        <v>116</v>
      </c>
    </row>
    <row r="15" customFormat="false" ht="15" hidden="false" customHeight="false" outlineLevel="0" collapsed="false">
      <c r="A15" s="31" t="s">
        <v>119</v>
      </c>
      <c r="B15" s="32" t="s">
        <v>120</v>
      </c>
      <c r="C15" s="32" t="s">
        <v>121</v>
      </c>
      <c r="D15" s="32" t="s">
        <v>122</v>
      </c>
      <c r="E15" s="32" t="s">
        <v>123</v>
      </c>
    </row>
    <row r="18" customFormat="false" ht="23.85" hidden="false" customHeight="true" outlineLevel="0" collapsed="false">
      <c r="A18" s="19" t="s">
        <v>124</v>
      </c>
      <c r="B18" s="29" t="s">
        <v>125</v>
      </c>
      <c r="C18" s="29"/>
      <c r="D18" s="29"/>
      <c r="E18" s="29"/>
    </row>
  </sheetData>
  <mergeCells count="3">
    <mergeCell ref="A1:E1"/>
    <mergeCell ref="A2:E2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31.5" hidden="false" customHeight="true" outlineLevel="0" collapsed="false">
      <c r="A1" s="33" t="s">
        <v>0</v>
      </c>
    </row>
    <row r="3" customFormat="false" ht="21.75" hidden="false" customHeight="true" outlineLevel="0" collapsed="false">
      <c r="A3" s="34" t="s">
        <v>126</v>
      </c>
    </row>
    <row r="4" customFormat="false" ht="21.75" hidden="false" customHeight="true" outlineLevel="0" collapsed="false">
      <c r="A4" s="35" t="s">
        <v>127</v>
      </c>
    </row>
    <row r="6" customFormat="false" ht="21.75" hidden="false" customHeight="true" outlineLevel="0" collapsed="false">
      <c r="A6" s="34" t="s">
        <v>128</v>
      </c>
    </row>
    <row r="7" customFormat="false" ht="21.75" hidden="false" customHeight="true" outlineLevel="0" collapsed="false">
      <c r="A7" s="35" t="s">
        <v>129</v>
      </c>
    </row>
    <row r="8" customFormat="false" ht="21.75" hidden="false" customHeight="true" outlineLevel="0" collapsed="false">
      <c r="A8" s="35" t="s">
        <v>130</v>
      </c>
    </row>
    <row r="9" customFormat="false" ht="21.75" hidden="false" customHeight="true" outlineLevel="0" collapsed="false">
      <c r="A9" s="35" t="s">
        <v>131</v>
      </c>
    </row>
    <row r="10" customFormat="false" ht="21.75" hidden="false" customHeight="true" outlineLevel="0" collapsed="false">
      <c r="A10" s="35" t="s">
        <v>132</v>
      </c>
    </row>
    <row r="12" customFormat="false" ht="21.75" hidden="false" customHeight="true" outlineLevel="0" collapsed="false">
      <c r="A12" s="34" t="s">
        <v>133</v>
      </c>
    </row>
    <row r="13" customFormat="false" ht="21.75" hidden="false" customHeight="true" outlineLevel="0" collapsed="false">
      <c r="A13" s="35" t="s">
        <v>134</v>
      </c>
    </row>
    <row r="14" customFormat="false" ht="21.75" hidden="false" customHeight="true" outlineLevel="0" collapsed="false">
      <c r="A14" s="35" t="s">
        <v>135</v>
      </c>
    </row>
    <row r="15" customFormat="false" ht="21.75" hidden="false" customHeight="true" outlineLevel="0" collapsed="false">
      <c r="A15" s="35" t="s">
        <v>136</v>
      </c>
    </row>
    <row r="16" customFormat="false" ht="21.75" hidden="false" customHeight="true" outlineLevel="0" collapsed="false">
      <c r="A16" s="35" t="s">
        <v>137</v>
      </c>
    </row>
    <row r="17" customFormat="false" ht="21.75" hidden="false" customHeight="true" outlineLevel="0" collapsed="false">
      <c r="A17" s="35" t="s">
        <v>138</v>
      </c>
    </row>
    <row r="18" customFormat="false" ht="21.75" hidden="false" customHeight="true" outlineLevel="0" collapsed="false">
      <c r="A18" s="35" t="s">
        <v>139</v>
      </c>
    </row>
    <row r="20" customFormat="false" ht="21.75" hidden="false" customHeight="true" outlineLevel="0" collapsed="false">
      <c r="A20" s="34" t="s">
        <v>140</v>
      </c>
    </row>
    <row r="21" customFormat="false" ht="21.75" hidden="false" customHeight="true" outlineLevel="0" collapsed="false">
      <c r="A21" s="35" t="s">
        <v>141</v>
      </c>
    </row>
    <row r="22" customFormat="false" ht="21.75" hidden="false" customHeight="true" outlineLevel="0" collapsed="false">
      <c r="A22" s="35" t="s">
        <v>142</v>
      </c>
    </row>
    <row r="23" customFormat="false" ht="21.75" hidden="false" customHeight="true" outlineLevel="0" collapsed="false">
      <c r="A23" s="35" t="s">
        <v>143</v>
      </c>
    </row>
    <row r="24" customFormat="false" ht="21.75" hidden="false" customHeight="true" outlineLevel="0" collapsed="false">
      <c r="A24" s="35" t="s">
        <v>144</v>
      </c>
    </row>
    <row r="26" customFormat="false" ht="21.75" hidden="false" customHeight="true" outlineLevel="0" collapsed="false">
      <c r="A26" s="34" t="s">
        <v>145</v>
      </c>
    </row>
    <row r="27" customFormat="false" ht="21.75" hidden="false" customHeight="true" outlineLevel="0" collapsed="false">
      <c r="A27" s="35" t="s">
        <v>146</v>
      </c>
    </row>
    <row r="28" customFormat="false" ht="21.75" hidden="false" customHeight="true" outlineLevel="0" collapsed="false">
      <c r="A28" s="35" t="s">
        <v>147</v>
      </c>
    </row>
    <row r="29" customFormat="false" ht="21.75" hidden="false" customHeight="true" outlineLevel="0" collapsed="false">
      <c r="A29" s="35" t="s">
        <v>148</v>
      </c>
    </row>
    <row r="30" customFormat="false" ht="21.75" hidden="false" customHeight="true" outlineLevel="0" collapsed="false">
      <c r="A30" s="35" t="s">
        <v>149</v>
      </c>
    </row>
    <row r="32" customFormat="false" ht="21.75" hidden="false" customHeight="true" outlineLevel="0" collapsed="false">
      <c r="A32" s="34" t="s">
        <v>150</v>
      </c>
    </row>
    <row r="33" customFormat="false" ht="21.75" hidden="false" customHeight="true" outlineLevel="0" collapsed="false">
      <c r="A33" s="35" t="s">
        <v>151</v>
      </c>
    </row>
    <row r="35" customFormat="false" ht="21.75" hidden="false" customHeight="true" outlineLevel="0" collapsed="false">
      <c r="A35" s="34" t="s">
        <v>152</v>
      </c>
    </row>
    <row r="36" customFormat="false" ht="21.75" hidden="false" customHeight="true" outlineLevel="0" collapsed="false">
      <c r="A36" s="35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2026-05-07T16:40:00Z</dcterms:created>
  <dc:creator>openpyxl</dc:creator>
  <dc:description/>
  <dc:language>en-US</dc:language>
  <cp:lastModifiedBy/>
  <dcterms:modified xsi:type="dcterms:W3CDTF">2026-05-07T16:40:00Z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